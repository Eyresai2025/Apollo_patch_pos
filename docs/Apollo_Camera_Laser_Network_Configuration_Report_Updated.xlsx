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erriswamyChakala\Desktop\Apollo_Application\Apollo_patch_pos\docs\"/>
    </mc:Choice>
  </mc:AlternateContent>
  <xr:revisionPtr revIDLastSave="0" documentId="13_ncr:1_{DF56CA91-88DE-4AE4-A612-141EF4900EE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Camera Mapping" sheetId="2" r:id="rId2"/>
    <sheet name="Laser Mapping" sheetId="7" r:id="rId3"/>
    <sheet name="Network Setup" sheetId="3" r:id="rId4"/>
    <sheet name="Validation Tests" sheetId="4" r:id="rId5"/>
  </sheets>
  <calcPr calcId="0"/>
</workbook>
</file>

<file path=xl/sharedStrings.xml><?xml version="1.0" encoding="utf-8"?>
<sst xmlns="http://schemas.openxmlformats.org/spreadsheetml/2006/main" count="321" uniqueCount="173">
  <si>
    <t>Apollo Camera &amp; Laser Network Configuration Summary</t>
  </si>
  <si>
    <t>Updated on: 08-06-2026 12:04</t>
  </si>
  <si>
    <t>Item</t>
  </si>
  <si>
    <t>Status</t>
  </si>
  <si>
    <t>Metric</t>
  </si>
  <si>
    <t>Value</t>
  </si>
  <si>
    <t>Intel X710 PCIe NIC driver installed</t>
  </si>
  <si>
    <t>Completed</t>
  </si>
  <si>
    <t>Configured cameras</t>
  </si>
  <si>
    <t>4 / 4</t>
  </si>
  <si>
    <t>VLAN 10 and VLAN 20 PC NICs configured</t>
  </si>
  <si>
    <t>Configured lasers</t>
  </si>
  <si>
    <t>2 / 3</t>
  </si>
  <si>
    <t>Camera IP configuration verified</t>
  </si>
  <si>
    <t>Successful ping tests</t>
  </si>
  <si>
    <t>6 / 6 completed devices</t>
  </si>
  <si>
    <t>Laser IP configuration started</t>
  </si>
  <si>
    <t>Partially Completed</t>
  </si>
  <si>
    <t>Pending device</t>
  </si>
  <si>
    <t>Sidewall 2 Laser</t>
  </si>
  <si>
    <t>Completed Work</t>
  </si>
  <si>
    <t>No.</t>
  </si>
  <si>
    <t>Description</t>
  </si>
  <si>
    <t>1</t>
  </si>
  <si>
    <t>Installed/updated Intel X710/X557-AT 10G PCIe network adapter drivers using Intel driver package.</t>
  </si>
  <si>
    <t>2</t>
  </si>
  <si>
    <t>Configured PC NIC1 for VLAN 10 with static IPv4 192.168.1.10/24.</t>
  </si>
  <si>
    <t>3</t>
  </si>
  <si>
    <t>Configured PC NIC2 for VLAN 20 with static IPv4 192.168.3.10/24.</t>
  </si>
  <si>
    <t>4</t>
  </si>
  <si>
    <t>Configured and verified persistent IPs for all 4 Lucid cameras.</t>
  </si>
  <si>
    <t>5</t>
  </si>
  <si>
    <t>Configured Tread Laser IP from old 192.168.6.20 range to final 192.168.1.23 and verified ping.</t>
  </si>
  <si>
    <t>6</t>
  </si>
  <si>
    <t>Configured Sidewall 1 Laser IP from old 192.168.5.20 range to final 192.168.3.22 and verified ping.</t>
  </si>
  <si>
    <t>7</t>
  </si>
  <si>
    <t>Sidewall 2 Laser is not connected now and will be configured later with final IP 192.168.3.24.</t>
  </si>
  <si>
    <t>8</t>
  </si>
  <si>
    <t>Jumbo frame is configured on PC side; end-to-end jumbo verification is still pending on switch/camera path.</t>
  </si>
  <si>
    <t>Camera Network</t>
  </si>
  <si>
    <t>All four cameras visible in ArenaView and camera_check.py.</t>
  </si>
  <si>
    <t>Current Status</t>
  </si>
  <si>
    <t>Area</t>
  </si>
  <si>
    <t>Remarks</t>
  </si>
  <si>
    <t>All four cameras visible in ArenaView and camera_check.py, ping OK.</t>
  </si>
  <si>
    <t>Laser Network</t>
  </si>
  <si>
    <t>Tread Laser and Sidewall 1 Laser configured. Sidewall 2 Laser is pending/not connected.</t>
  </si>
  <si>
    <t>Jumbo Frame</t>
  </si>
  <si>
    <t>Pending verification</t>
  </si>
  <si>
    <t>PC MTU is configured; switch/camera jumbo path still needs verification.</t>
  </si>
  <si>
    <t>Final Camera IP Mapping</t>
  </si>
  <si>
    <t>Device Role</t>
  </si>
  <si>
    <t>Model</t>
  </si>
  <si>
    <t>Serial Number</t>
  </si>
  <si>
    <t>VLAN</t>
  </si>
  <si>
    <t>Switch Port</t>
  </si>
  <si>
    <t>PC NIC Adapter</t>
  </si>
  <si>
    <t>PC NIC IP</t>
  </si>
  <si>
    <t>Camera IP</t>
  </si>
  <si>
    <t>Subnet Mask</t>
  </si>
  <si>
    <t>Gateway</t>
  </si>
  <si>
    <t>DHCP</t>
  </si>
  <si>
    <t>Persistent IP</t>
  </si>
  <si>
    <t>LLA</t>
  </si>
  <si>
    <t>Ping Status</t>
  </si>
  <si>
    <t>Arena/Open Status</t>
  </si>
  <si>
    <t>Final Status</t>
  </si>
  <si>
    <t>Sidewall 1 Camera</t>
  </si>
  <si>
    <t>TRT04KG-M</t>
  </si>
  <si>
    <t>254901432</t>
  </si>
  <si>
    <t>VLAN 10</t>
  </si>
  <si>
    <t>Port 9</t>
  </si>
  <si>
    <t>VLAN10_10G_PC_NIC1</t>
  </si>
  <si>
    <t>192.168.1.10</t>
  </si>
  <si>
    <t>192.168.1.21</t>
  </si>
  <si>
    <t>255.255.255.0</t>
  </si>
  <si>
    <t>0.0.0.0</t>
  </si>
  <si>
    <t>False</t>
  </si>
  <si>
    <t>True</t>
  </si>
  <si>
    <t>OK</t>
  </si>
  <si>
    <t>Open Status OK</t>
  </si>
  <si>
    <t>Inner Camera</t>
  </si>
  <si>
    <t>TRI02KA-M</t>
  </si>
  <si>
    <t>Port 10</t>
  </si>
  <si>
    <t>192.168.1.22</t>
  </si>
  <si>
    <t>Sidewall 2 Camera</t>
  </si>
  <si>
    <t>VLAN 20</t>
  </si>
  <si>
    <t>Port 11</t>
  </si>
  <si>
    <t>VLAN20_10G_PC_NIC2</t>
  </si>
  <si>
    <t>192.168.3.10</t>
  </si>
  <si>
    <t>192.168.3.20</t>
  </si>
  <si>
    <t>Tread Camera</t>
  </si>
  <si>
    <t>Port 12</t>
  </si>
  <si>
    <t>192.168.3.21</t>
  </si>
  <si>
    <t>PC NIC and Switch Port Configuration</t>
  </si>
  <si>
    <t>Component</t>
  </si>
  <si>
    <t>IP Address</t>
  </si>
  <si>
    <t>Speed/MTU</t>
  </si>
  <si>
    <t>PC NIC1 - VLAN10_10G_PC_NIC1</t>
  </si>
  <si>
    <t>Port 17</t>
  </si>
  <si>
    <t>Blank</t>
  </si>
  <si>
    <t>10 Gbps / MTU 9000 intended</t>
  </si>
  <si>
    <t>Configured</t>
  </si>
  <si>
    <t>PC NIC2 - VLAN20_10G_PC_NIC2</t>
  </si>
  <si>
    <t>Port 18</t>
  </si>
  <si>
    <t>10 Gbps / MTU 9000 confirmed</t>
  </si>
  <si>
    <t>Internet Adapter - Ethernet 7</t>
  </si>
  <si>
    <t>IT/Internet network</t>
  </si>
  <si>
    <t>Corporate network</t>
  </si>
  <si>
    <t>10.65.117.x</t>
  </si>
  <si>
    <t>10.65.117.64</t>
  </si>
  <si>
    <t>Internet only</t>
  </si>
  <si>
    <t>Do not modify</t>
  </si>
  <si>
    <t>Notes</t>
  </si>
  <si>
    <t>Default gateway kept blank on camera NICs to avoid Windows routing conflicts.</t>
  </si>
  <si>
    <t>Internet remains on Ethernet 7; camera networks are isolated on VLAN 10 and VLAN 20.</t>
  </si>
  <si>
    <t>Jumbo Packet was set to 9014 on Intel X710 NIC. Windows MTU showed 9000 for VLAN20_10G_PC_NIC2.</t>
  </si>
  <si>
    <t>Jumbo frame end-to-end verification is pending because large ICMP ping above 1472 bytes did not pass.</t>
  </si>
  <si>
    <t>ArenaView auto-selected Device Stream Channel Packet Size around 7500 B during streaming test.</t>
  </si>
  <si>
    <t>Laser Port Configuration</t>
  </si>
  <si>
    <t>Final IP Address</t>
  </si>
  <si>
    <t>Tread Laser</t>
  </si>
  <si>
    <t>Port 13</t>
  </si>
  <si>
    <t>192.168.1.23</t>
  </si>
  <si>
    <t>Old IP range 192.168.6.x; ping verified after change.</t>
  </si>
  <si>
    <t>Sidewall 1 Laser</t>
  </si>
  <si>
    <t>Port 14</t>
  </si>
  <si>
    <t>192.168.3.22</t>
  </si>
  <si>
    <t>Old IP range 192.168.5.x; ping verified after change.</t>
  </si>
  <si>
    <t>Port 15</t>
  </si>
  <si>
    <t>192.168.3.24</t>
  </si>
  <si>
    <t>Pending</t>
  </si>
  <si>
    <t>Not connected now; will configure later.</t>
  </si>
  <si>
    <t>Temporary IP Notes</t>
  </si>
  <si>
    <t>Tread Laser access</t>
  </si>
  <si>
    <t>Temporary IP</t>
  </si>
  <si>
    <t>192.168.6.10</t>
  </si>
  <si>
    <t>Used/Removed</t>
  </si>
  <si>
    <t>Used to access old 192.168.6.20 range.</t>
  </si>
  <si>
    <t>Sidewall 1 Laser access</t>
  </si>
  <si>
    <t>192.168.5.10</t>
  </si>
  <si>
    <t>Used to access old 192.168.5.20 range.</t>
  </si>
  <si>
    <t>Camera Validation Test Results</t>
  </si>
  <si>
    <t>Test Area</t>
  </si>
  <si>
    <t>Device</t>
  </si>
  <si>
    <t>IP</t>
  </si>
  <si>
    <t>Evidence/Notes</t>
  </si>
  <si>
    <t>Date</t>
  </si>
  <si>
    <t>Ping</t>
  </si>
  <si>
    <t>PASS</t>
  </si>
  <si>
    <t>Confirmed from terminal log</t>
  </si>
  <si>
    <t>Arena API</t>
  </si>
  <si>
    <t>All Cameras</t>
  </si>
  <si>
    <t>All final IPs</t>
  </si>
  <si>
    <t>No duplicate serials found</t>
  </si>
  <si>
    <t>Jumbo ICMP</t>
  </si>
  <si>
    <t>PENDING</t>
  </si>
  <si>
    <t>Switch/camera jumbo path verification required</t>
  </si>
  <si>
    <t>Confirmed after changing laser IP</t>
  </si>
  <si>
    <t>Connection</t>
  </si>
  <si>
    <t>Not connected</t>
  </si>
  <si>
    <t>Will configure later when connected</t>
  </si>
  <si>
    <t>Tool</t>
  </si>
  <si>
    <t>Network Configuration Tool</t>
  </si>
  <si>
    <t>Laser devices</t>
  </si>
  <si>
    <t>Sidewall 2 pending</t>
  </si>
  <si>
    <t>Final Laser IP Mapping and Status</t>
  </si>
  <si>
    <t>Device ID / Serial</t>
  </si>
  <si>
    <t>Final IP</t>
  </si>
  <si>
    <t>M0006994 / MAC 00-01-0D-C8-59-23</t>
  </si>
  <si>
    <t>Configured in Network Configuration Tool and ping verified.</t>
  </si>
  <si>
    <t>Not connected now. Will configure later.</t>
  </si>
  <si>
    <t>M0006674 / MAC 00-01-0D-C8-55-58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</si>
</sst>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274E13"/>
      <name val="Carlito"/>
    </font>
    <font>
      <b/>
      <sz val="11"/>
      <color rgb="FF7F6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164" fontId="0" fillId="0" borderId="0" xfId="0" applyNumberFormat="1" applyAlignment="1">
      <alignment vertical="top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vertical="top" wrapText="1"/>
    </xf>
    <xf numFmtId="0" fontId="7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6" fillId="7" borderId="0" xfId="0" applyFont="1" applyFill="1"/>
    <xf numFmtId="0" fontId="7" fillId="8" borderId="0" xfId="0" applyFont="1" applyFill="1"/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5" borderId="0" xfId="0" applyFont="1" applyFill="1" applyAlignment="1">
      <alignment horizontal="center" vertical="top" wrapText="1"/>
    </xf>
    <xf numFmtId="0" fontId="5" fillId="9" borderId="0" xfId="0" applyFont="1" applyFill="1" applyAlignment="1">
      <alignment horizontal="left" vertical="top" wrapText="1"/>
    </xf>
    <xf numFmtId="0" fontId="5" fillId="9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center" wrapText="1"/>
    </xf>
  </cellXfs>
  <cellStyles count="1">
    <cellStyle name="Normal" xfId="0" builtinId="0"/>
  </cellStyles>
  <dxfs count="4"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006100"/>
      </font>
      <fill>
        <patternFill>
          <bgColor rgb="FFE2F0D9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eraMappingTable" displayName="CameraMappingTable" ref="A3:P7">
  <tableColumns count="16">
    <tableColumn id="1" xr3:uid="{00000000-0010-0000-0000-000001000000}" name="Device Role"/>
    <tableColumn id="2" xr3:uid="{00000000-0010-0000-0000-000002000000}" name="Model"/>
    <tableColumn id="3" xr3:uid="{00000000-0010-0000-0000-000003000000}" name="Serial Number" dataDxfId="3"/>
    <tableColumn id="4" xr3:uid="{00000000-0010-0000-0000-000004000000}" name="VLAN"/>
    <tableColumn id="5" xr3:uid="{00000000-0010-0000-0000-000005000000}" name="Switch Port"/>
    <tableColumn id="6" xr3:uid="{00000000-0010-0000-0000-000006000000}" name="PC NIC Adapter"/>
    <tableColumn id="7" xr3:uid="{00000000-0010-0000-0000-000007000000}" name="PC NIC IP"/>
    <tableColumn id="8" xr3:uid="{00000000-0010-0000-0000-000008000000}" name="Camera IP"/>
    <tableColumn id="9" xr3:uid="{00000000-0010-0000-0000-000009000000}" name="Subnet Mask"/>
    <tableColumn id="10" xr3:uid="{00000000-0010-0000-0000-00000A000000}" name="Gateway"/>
    <tableColumn id="11" xr3:uid="{00000000-0010-0000-0000-00000B000000}" name="DHCP"/>
    <tableColumn id="12" xr3:uid="{00000000-0010-0000-0000-00000C000000}" name="Persistent IP"/>
    <tableColumn id="13" xr3:uid="{00000000-0010-0000-0000-00000D000000}" name="LLA"/>
    <tableColumn id="14" xr3:uid="{00000000-0010-0000-0000-00000E000000}" name="Ping Status"/>
    <tableColumn id="15" xr3:uid="{00000000-0010-0000-0000-00000F000000}" name="Arena/Open Status"/>
    <tableColumn id="16" xr3:uid="{00000000-0010-0000-0000-000010000000}" name="Final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aserMappingTable" displayName="LaserMappingTable" ref="A3:I6">
  <tableColumns count="9">
    <tableColumn id="1" xr3:uid="{00000000-0010-0000-0400-000001000000}" name="Device Role"/>
    <tableColumn id="2" xr3:uid="{00000000-0010-0000-0400-000002000000}" name="Device ID / Serial"/>
    <tableColumn id="4" xr3:uid="{00000000-0010-0000-0400-000004000000}" name="Final IP"/>
    <tableColumn id="5" xr3:uid="{00000000-0010-0000-0400-000005000000}" name="Subnet Mask"/>
    <tableColumn id="6" xr3:uid="{00000000-0010-0000-0400-000006000000}" name="Gateway"/>
    <tableColumn id="7" xr3:uid="{00000000-0010-0000-0400-000007000000}" name="VLAN"/>
    <tableColumn id="8" xr3:uid="{00000000-0010-0000-0400-000008000000}" name="Switch Port"/>
    <tableColumn id="9" xr3:uid="{00000000-0010-0000-0400-000009000000}" name="Status"/>
    <tableColumn id="10" xr3:uid="{00000000-0010-0000-0400-00000A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tworkSetupTable" displayName="NetworkSetupTable" ref="A3:H6">
  <tableColumns count="8">
    <tableColumn id="1" xr3:uid="{00000000-0010-0000-0100-000001000000}" name="Component"/>
    <tableColumn id="2" xr3:uid="{00000000-0010-0000-0100-000002000000}" name="Switch Port"/>
    <tableColumn id="3" xr3:uid="{00000000-0010-0000-0100-000003000000}" name="VLAN"/>
    <tableColumn id="4" xr3:uid="{00000000-0010-0000-0100-000004000000}" name="IP Address"/>
    <tableColumn id="5" xr3:uid="{00000000-0010-0000-0100-000005000000}" name="Subnet Mask"/>
    <tableColumn id="6" xr3:uid="{00000000-0010-0000-0100-000006000000}" name="Gateway"/>
    <tableColumn id="7" xr3:uid="{00000000-0010-0000-0100-000007000000}" name="Speed/MTU"/>
    <tableColumn id="8" xr3:uid="{00000000-0010-0000-0100-000008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idationTestsTable" displayName="ValidationTestsTable" ref="A3:F10">
  <tableColumns count="6">
    <tableColumn id="1" xr3:uid="{00000000-0010-0000-0200-000001000000}" name="Test Area"/>
    <tableColumn id="2" xr3:uid="{00000000-0010-0000-0200-000002000000}" name="Device"/>
    <tableColumn id="3" xr3:uid="{00000000-0010-0000-0200-000003000000}" name="IP"/>
    <tableColumn id="7" xr3:uid="{00000000-0010-0000-0200-000007000000}" name="Status"/>
    <tableColumn id="8" xr3:uid="{00000000-0010-0000-0200-000008000000}" name="Evidence/Notes"/>
    <tableColumn id="9" xr3:uid="{00000000-0010-0000-0200-000009000000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opLeftCell="A16" workbookViewId="0">
      <selection sqref="A1:H1"/>
    </sheetView>
  </sheetViews>
  <sheetFormatPr defaultRowHeight="14.25"/>
  <cols>
    <col min="1" max="1" width="58.5" customWidth="1"/>
    <col min="2" max="2" width="28" customWidth="1"/>
    <col min="3" max="3" width="55" customWidth="1"/>
    <col min="4" max="4" width="16.25" customWidth="1"/>
    <col min="5" max="5" width="19" customWidth="1"/>
  </cols>
  <sheetData>
    <row r="1" spans="1:26" ht="18">
      <c r="A1" s="15" t="s">
        <v>0</v>
      </c>
      <c r="B1" s="15"/>
      <c r="C1" s="15"/>
      <c r="D1" s="15"/>
      <c r="E1" s="15"/>
      <c r="F1" s="15"/>
      <c r="G1" s="14"/>
      <c r="H1" s="1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1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4" t="s">
        <v>2</v>
      </c>
      <c r="B4" s="4" t="s">
        <v>3</v>
      </c>
      <c r="C4" s="4"/>
      <c r="D4" s="4" t="s">
        <v>4</v>
      </c>
      <c r="E4" s="4" t="s">
        <v>5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6</v>
      </c>
      <c r="B5" s="5" t="s">
        <v>7</v>
      </c>
      <c r="C5" s="1"/>
      <c r="D5" s="1" t="s">
        <v>8</v>
      </c>
      <c r="E5" s="1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" t="s">
        <v>10</v>
      </c>
      <c r="B6" s="5" t="s">
        <v>7</v>
      </c>
      <c r="C6" s="1"/>
      <c r="D6" s="1" t="s">
        <v>11</v>
      </c>
      <c r="E6" s="1" t="s">
        <v>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13</v>
      </c>
      <c r="B7" s="5" t="s">
        <v>7</v>
      </c>
      <c r="C7" s="1"/>
      <c r="D7" s="1" t="s">
        <v>14</v>
      </c>
      <c r="E7" s="1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" t="s">
        <v>16</v>
      </c>
      <c r="B8" s="6" t="s">
        <v>17</v>
      </c>
      <c r="C8" s="1"/>
      <c r="D8" s="1" t="s">
        <v>18</v>
      </c>
      <c r="E8" s="1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6" t="s">
        <v>20</v>
      </c>
      <c r="B10" s="17"/>
      <c r="C10" s="17"/>
      <c r="D10" s="17"/>
      <c r="E10" s="17"/>
      <c r="F10" s="17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4" t="s">
        <v>21</v>
      </c>
      <c r="B11" s="4" t="s">
        <v>22</v>
      </c>
      <c r="C11" s="4"/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7">
      <c r="A12" s="1" t="s">
        <v>23</v>
      </c>
      <c r="B12" s="1" t="s">
        <v>24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>
      <c r="A13" s="1" t="s">
        <v>25</v>
      </c>
      <c r="B13" s="1" t="s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" t="s">
        <v>27</v>
      </c>
      <c r="B14" s="1" t="s">
        <v>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2.75">
      <c r="A15" s="1" t="s">
        <v>29</v>
      </c>
      <c r="B15" s="1" t="s">
        <v>30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>
      <c r="A16" s="1" t="s">
        <v>31</v>
      </c>
      <c r="B16" s="1" t="s">
        <v>32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>
      <c r="A17" s="1" t="s">
        <v>33</v>
      </c>
      <c r="B17" s="1" t="s">
        <v>34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 t="s">
        <v>35</v>
      </c>
      <c r="B18" s="14" t="s">
        <v>36</v>
      </c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60">
      <c r="A19" s="2" t="s">
        <v>37</v>
      </c>
      <c r="B19" s="2" t="s">
        <v>38</v>
      </c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39</v>
      </c>
      <c r="B20" s="1" t="s">
        <v>7</v>
      </c>
      <c r="C20" s="1" t="s">
        <v>40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7" t="s">
        <v>41</v>
      </c>
      <c r="B21" s="7"/>
      <c r="C21" s="7"/>
      <c r="D21" s="7"/>
      <c r="E21" s="7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4" t="s">
        <v>42</v>
      </c>
      <c r="B22" s="4" t="s">
        <v>3</v>
      </c>
      <c r="C22" s="4" t="s">
        <v>43</v>
      </c>
      <c r="D22" s="4"/>
      <c r="E22" s="4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>
      <c r="A23" s="1" t="s">
        <v>39</v>
      </c>
      <c r="B23" s="5" t="s">
        <v>7</v>
      </c>
      <c r="C23" s="1" t="s">
        <v>44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>
      <c r="A24" s="1" t="s">
        <v>45</v>
      </c>
      <c r="B24" s="6" t="s">
        <v>17</v>
      </c>
      <c r="C24" s="1" t="s">
        <v>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5">
      <c r="A25" s="1" t="s">
        <v>47</v>
      </c>
      <c r="B25" s="6" t="s">
        <v>48</v>
      </c>
      <c r="C25" s="1" t="s">
        <v>49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2:H2"/>
    <mergeCell ref="A10:H10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activeCell="B17" sqref="B17"/>
    </sheetView>
  </sheetViews>
  <sheetFormatPr defaultRowHeight="14.25"/>
  <cols>
    <col min="1" max="1" width="22" customWidth="1"/>
    <col min="2" max="8" width="18" customWidth="1"/>
    <col min="9" max="16" width="16" customWidth="1"/>
  </cols>
  <sheetData>
    <row r="1" spans="1:26">
      <c r="A1" s="13" t="s">
        <v>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" t="s">
        <v>67</v>
      </c>
      <c r="B4" s="1" t="s">
        <v>68</v>
      </c>
      <c r="C4" s="10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78</v>
      </c>
      <c r="N4" s="1" t="s">
        <v>79</v>
      </c>
      <c r="O4" s="1" t="s">
        <v>80</v>
      </c>
      <c r="P4" s="1" t="s">
        <v>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81</v>
      </c>
      <c r="B5" s="1" t="s">
        <v>82</v>
      </c>
      <c r="C5" s="10">
        <v>254901428</v>
      </c>
      <c r="D5" s="1" t="s">
        <v>70</v>
      </c>
      <c r="E5" s="1" t="s">
        <v>83</v>
      </c>
      <c r="F5" s="1" t="s">
        <v>72</v>
      </c>
      <c r="G5" s="1" t="s">
        <v>73</v>
      </c>
      <c r="H5" s="1" t="s">
        <v>84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78</v>
      </c>
      <c r="N5" s="1" t="s">
        <v>79</v>
      </c>
      <c r="O5" s="1" t="s">
        <v>80</v>
      </c>
      <c r="P5" s="1" t="s">
        <v>7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85</v>
      </c>
      <c r="B6" s="1" t="s">
        <v>68</v>
      </c>
      <c r="C6" s="10">
        <v>254901431</v>
      </c>
      <c r="D6" s="1" t="s">
        <v>86</v>
      </c>
      <c r="E6" s="1" t="s">
        <v>87</v>
      </c>
      <c r="F6" s="1" t="s">
        <v>88</v>
      </c>
      <c r="G6" s="1" t="s">
        <v>89</v>
      </c>
      <c r="H6" s="1" t="s">
        <v>90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78</v>
      </c>
      <c r="N6" s="1" t="s">
        <v>79</v>
      </c>
      <c r="O6" s="1" t="s">
        <v>80</v>
      </c>
      <c r="P6" s="1" t="s">
        <v>7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91</v>
      </c>
      <c r="B7" s="1" t="s">
        <v>68</v>
      </c>
      <c r="C7" s="10">
        <v>254901430</v>
      </c>
      <c r="D7" s="1" t="s">
        <v>86</v>
      </c>
      <c r="E7" s="1" t="s">
        <v>92</v>
      </c>
      <c r="F7" s="1" t="s">
        <v>88</v>
      </c>
      <c r="G7" s="1" t="s">
        <v>89</v>
      </c>
      <c r="H7" s="1" t="s">
        <v>93</v>
      </c>
      <c r="I7" s="1" t="s">
        <v>75</v>
      </c>
      <c r="J7" s="1" t="s">
        <v>76</v>
      </c>
      <c r="K7" s="1" t="s">
        <v>77</v>
      </c>
      <c r="L7" s="1" t="s">
        <v>78</v>
      </c>
      <c r="M7" s="1" t="s">
        <v>78</v>
      </c>
      <c r="N7" s="1" t="s">
        <v>79</v>
      </c>
      <c r="O7" s="1" t="s">
        <v>80</v>
      </c>
      <c r="P7" s="1" t="s">
        <v>7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P1"/>
  </mergeCells>
  <conditionalFormatting sqref="P4:P7">
    <cfRule type="expression" dxfId="2" priority="1">
      <formula>P4="Completed"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tabSelected="1" workbookViewId="0">
      <selection activeCell="F5" sqref="F5"/>
    </sheetView>
  </sheetViews>
  <sheetFormatPr defaultRowHeight="14.25"/>
  <cols>
    <col min="1" max="1" width="34.875" customWidth="1"/>
    <col min="2" max="2" width="32" customWidth="1"/>
    <col min="3" max="3" width="11.375" bestFit="1" customWidth="1"/>
    <col min="4" max="4" width="12.375" bestFit="1" customWidth="1"/>
    <col min="5" max="5" width="6.5" bestFit="1" customWidth="1"/>
    <col min="6" max="6" width="7.875" bestFit="1" customWidth="1"/>
    <col min="7" max="7" width="6.75" bestFit="1" customWidth="1"/>
    <col min="8" max="8" width="8.875" customWidth="1"/>
    <col min="9" max="9" width="45" customWidth="1"/>
  </cols>
  <sheetData>
    <row r="1" spans="1:9" ht="18">
      <c r="A1" s="19" t="s">
        <v>166</v>
      </c>
      <c r="B1" s="19"/>
      <c r="C1" s="19"/>
      <c r="D1" s="19"/>
      <c r="E1" s="19"/>
      <c r="F1" s="19"/>
      <c r="G1" s="19"/>
      <c r="H1" s="19"/>
      <c r="I1" s="19"/>
    </row>
    <row r="3" spans="1:9" ht="30">
      <c r="A3" s="4" t="s">
        <v>51</v>
      </c>
      <c r="B3" s="4" t="s">
        <v>167</v>
      </c>
      <c r="C3" s="4" t="s">
        <v>168</v>
      </c>
      <c r="D3" s="4" t="s">
        <v>59</v>
      </c>
      <c r="E3" s="4" t="s">
        <v>60</v>
      </c>
      <c r="F3" s="4" t="s">
        <v>54</v>
      </c>
      <c r="G3" s="4" t="s">
        <v>55</v>
      </c>
      <c r="H3" s="4" t="s">
        <v>3</v>
      </c>
      <c r="I3" s="4" t="s">
        <v>43</v>
      </c>
    </row>
    <row r="4" spans="1:9" ht="15">
      <c r="A4" t="s">
        <v>121</v>
      </c>
      <c r="B4" t="s">
        <v>169</v>
      </c>
      <c r="C4" t="s">
        <v>123</v>
      </c>
      <c r="D4" t="s">
        <v>75</v>
      </c>
      <c r="E4" t="s">
        <v>76</v>
      </c>
      <c r="F4" t="s">
        <v>70</v>
      </c>
      <c r="G4" t="s">
        <v>122</v>
      </c>
      <c r="H4" s="8" t="s">
        <v>7</v>
      </c>
      <c r="I4" t="s">
        <v>170</v>
      </c>
    </row>
    <row r="5" spans="1:9" ht="15">
      <c r="A5" t="s">
        <v>125</v>
      </c>
      <c r="B5" t="s">
        <v>172</v>
      </c>
      <c r="C5" t="s">
        <v>127</v>
      </c>
      <c r="D5" t="s">
        <v>75</v>
      </c>
      <c r="E5" t="s">
        <v>76</v>
      </c>
      <c r="F5" t="s">
        <v>86</v>
      </c>
      <c r="G5" t="s">
        <v>126</v>
      </c>
      <c r="H5" s="8" t="s">
        <v>7</v>
      </c>
      <c r="I5" t="s">
        <v>170</v>
      </c>
    </row>
    <row r="6" spans="1:9" ht="15">
      <c r="A6" t="s">
        <v>19</v>
      </c>
      <c r="B6" t="s">
        <v>160</v>
      </c>
      <c r="C6" t="s">
        <v>130</v>
      </c>
      <c r="D6" t="s">
        <v>75</v>
      </c>
      <c r="E6" t="s">
        <v>76</v>
      </c>
      <c r="F6" t="s">
        <v>86</v>
      </c>
      <c r="G6" t="s">
        <v>129</v>
      </c>
      <c r="H6" s="9" t="s">
        <v>131</v>
      </c>
      <c r="I6" t="s">
        <v>171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selection activeCell="B6" sqref="B6"/>
    </sheetView>
  </sheetViews>
  <sheetFormatPr defaultRowHeight="14.25"/>
  <cols>
    <col min="1" max="1" width="44" customWidth="1"/>
    <col min="2" max="2" width="84.25" customWidth="1"/>
    <col min="3" max="3" width="15.125" customWidth="1"/>
    <col min="4" max="4" width="12.875" customWidth="1"/>
    <col min="5" max="5" width="13.375" customWidth="1"/>
    <col min="6" max="6" width="10.375" customWidth="1"/>
    <col min="7" max="7" width="25.125" customWidth="1"/>
    <col min="8" max="8" width="45" customWidth="1"/>
  </cols>
  <sheetData>
    <row r="1" spans="1:26">
      <c r="A1" s="13" t="s">
        <v>94</v>
      </c>
      <c r="B1" s="14"/>
      <c r="C1" s="14"/>
      <c r="D1" s="14"/>
      <c r="E1" s="14"/>
      <c r="F1" s="14"/>
      <c r="G1" s="14"/>
      <c r="H1" s="1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2" t="s">
        <v>95</v>
      </c>
      <c r="B3" s="2" t="s">
        <v>55</v>
      </c>
      <c r="C3" s="2" t="s">
        <v>54</v>
      </c>
      <c r="D3" s="2" t="s">
        <v>96</v>
      </c>
      <c r="E3" s="2" t="s">
        <v>59</v>
      </c>
      <c r="F3" s="2" t="s">
        <v>60</v>
      </c>
      <c r="G3" s="2" t="s">
        <v>97</v>
      </c>
      <c r="H3" s="2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1" t="s">
        <v>98</v>
      </c>
      <c r="B4" s="11" t="s">
        <v>99</v>
      </c>
      <c r="C4" s="11" t="s">
        <v>70</v>
      </c>
      <c r="D4" s="11" t="s">
        <v>73</v>
      </c>
      <c r="E4" s="11" t="s">
        <v>75</v>
      </c>
      <c r="F4" s="11" t="s">
        <v>100</v>
      </c>
      <c r="G4" s="11" t="s">
        <v>101</v>
      </c>
      <c r="H4" s="11" t="s">
        <v>102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2" t="s">
        <v>103</v>
      </c>
      <c r="B5" s="12" t="s">
        <v>104</v>
      </c>
      <c r="C5" s="12" t="s">
        <v>86</v>
      </c>
      <c r="D5" s="12" t="s">
        <v>89</v>
      </c>
      <c r="E5" s="12" t="s">
        <v>75</v>
      </c>
      <c r="F5" s="12" t="s">
        <v>100</v>
      </c>
      <c r="G5" s="12" t="s">
        <v>105</v>
      </c>
      <c r="H5" s="12" t="s">
        <v>102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106</v>
      </c>
      <c r="B6" s="1" t="s">
        <v>107</v>
      </c>
      <c r="C6" s="1" t="s">
        <v>108</v>
      </c>
      <c r="D6" s="1" t="s">
        <v>109</v>
      </c>
      <c r="E6" s="1" t="s">
        <v>75</v>
      </c>
      <c r="F6" s="1" t="s">
        <v>110</v>
      </c>
      <c r="G6" s="1" t="s">
        <v>111</v>
      </c>
      <c r="H6" s="1" t="s">
        <v>112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8" t="s">
        <v>113</v>
      </c>
      <c r="B8" s="14"/>
      <c r="C8" s="14"/>
      <c r="D8" s="14"/>
      <c r="E8" s="14"/>
      <c r="F8" s="14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23</v>
      </c>
      <c r="B9" s="1" t="s">
        <v>114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25</v>
      </c>
      <c r="B10" s="1" t="s">
        <v>115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>
      <c r="A11" s="1" t="s">
        <v>27</v>
      </c>
      <c r="B11" s="1" t="s">
        <v>116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" t="s">
        <v>29</v>
      </c>
      <c r="B12" s="1" t="s">
        <v>117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31</v>
      </c>
      <c r="B13" s="1" t="s">
        <v>118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7" t="s">
        <v>119</v>
      </c>
      <c r="B15" s="7"/>
      <c r="C15" s="7"/>
      <c r="D15" s="7"/>
      <c r="E15" s="7"/>
      <c r="F15" s="7"/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>
      <c r="A16" s="4" t="s">
        <v>95</v>
      </c>
      <c r="B16" s="4" t="s">
        <v>55</v>
      </c>
      <c r="C16" s="4" t="s">
        <v>54</v>
      </c>
      <c r="D16" s="4" t="s">
        <v>120</v>
      </c>
      <c r="E16" s="4" t="s">
        <v>59</v>
      </c>
      <c r="F16" s="4" t="s">
        <v>60</v>
      </c>
      <c r="G16" s="4" t="s">
        <v>3</v>
      </c>
      <c r="H16" s="4" t="s">
        <v>43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1" t="s">
        <v>121</v>
      </c>
      <c r="B17" s="1" t="s">
        <v>122</v>
      </c>
      <c r="C17" s="1" t="s">
        <v>70</v>
      </c>
      <c r="D17" s="1" t="s">
        <v>123</v>
      </c>
      <c r="E17" s="1" t="s">
        <v>75</v>
      </c>
      <c r="F17" s="1" t="s">
        <v>76</v>
      </c>
      <c r="G17" s="5" t="s">
        <v>7</v>
      </c>
      <c r="H17" s="1" t="s">
        <v>124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1" t="s">
        <v>125</v>
      </c>
      <c r="B18" s="1" t="s">
        <v>126</v>
      </c>
      <c r="C18" s="1" t="s">
        <v>86</v>
      </c>
      <c r="D18" s="1" t="s">
        <v>127</v>
      </c>
      <c r="E18" s="1" t="s">
        <v>75</v>
      </c>
      <c r="F18" s="1" t="s">
        <v>76</v>
      </c>
      <c r="G18" s="5" t="s">
        <v>7</v>
      </c>
      <c r="H18" s="1" t="s">
        <v>128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" t="s">
        <v>19</v>
      </c>
      <c r="B19" s="1" t="s">
        <v>129</v>
      </c>
      <c r="C19" s="1" t="s">
        <v>86</v>
      </c>
      <c r="D19" s="1" t="s">
        <v>130</v>
      </c>
      <c r="E19" s="1" t="s">
        <v>75</v>
      </c>
      <c r="F19" s="1" t="s">
        <v>76</v>
      </c>
      <c r="G19" s="6" t="s">
        <v>131</v>
      </c>
      <c r="H19" s="1" t="s">
        <v>132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133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134</v>
      </c>
      <c r="B22" s="1" t="s">
        <v>72</v>
      </c>
      <c r="C22" s="1" t="s">
        <v>135</v>
      </c>
      <c r="D22" s="1" t="s">
        <v>136</v>
      </c>
      <c r="E22" s="1" t="s">
        <v>75</v>
      </c>
      <c r="F22" s="1"/>
      <c r="G22" s="1" t="s">
        <v>137</v>
      </c>
      <c r="H22" s="1" t="s">
        <v>138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 t="s">
        <v>139</v>
      </c>
      <c r="B23" s="1" t="s">
        <v>88</v>
      </c>
      <c r="C23" s="1" t="s">
        <v>135</v>
      </c>
      <c r="D23" s="1" t="s">
        <v>140</v>
      </c>
      <c r="E23" s="1" t="s">
        <v>75</v>
      </c>
      <c r="F23" s="1"/>
      <c r="G23" s="1" t="s">
        <v>137</v>
      </c>
      <c r="H23" s="1" t="s">
        <v>141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8:H8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"/>
  <sheetViews>
    <sheetView workbookViewId="0">
      <selection activeCell="E11" sqref="E11"/>
    </sheetView>
  </sheetViews>
  <sheetFormatPr defaultRowHeight="14.25"/>
  <cols>
    <col min="1" max="1" width="36.375" customWidth="1"/>
    <col min="2" max="2" width="22" customWidth="1"/>
    <col min="3" max="3" width="15.875" customWidth="1"/>
    <col min="4" max="4" width="7.625" customWidth="1"/>
    <col min="5" max="5" width="45" customWidth="1"/>
    <col min="6" max="6" width="15.25" bestFit="1" customWidth="1"/>
  </cols>
  <sheetData>
    <row r="1" spans="1:23">
      <c r="A1" s="13" t="s">
        <v>142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>
      <c r="A3" s="4" t="s">
        <v>143</v>
      </c>
      <c r="B3" s="4" t="s">
        <v>144</v>
      </c>
      <c r="C3" s="4" t="s">
        <v>145</v>
      </c>
      <c r="D3" s="4" t="s">
        <v>3</v>
      </c>
      <c r="E3" s="4" t="s">
        <v>146</v>
      </c>
      <c r="F3" s="4" t="s">
        <v>147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>
      <c r="A4" s="1" t="s">
        <v>148</v>
      </c>
      <c r="B4" s="1" t="s">
        <v>67</v>
      </c>
      <c r="C4" s="1" t="s">
        <v>74</v>
      </c>
      <c r="D4" s="1" t="s">
        <v>149</v>
      </c>
      <c r="E4" s="1" t="s">
        <v>150</v>
      </c>
      <c r="F4" s="3">
        <v>46176.499265787039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">
      <c r="A5" s="1" t="s">
        <v>148</v>
      </c>
      <c r="B5" s="1" t="s">
        <v>81</v>
      </c>
      <c r="C5" s="1" t="s">
        <v>84</v>
      </c>
      <c r="D5" s="1" t="s">
        <v>149</v>
      </c>
      <c r="E5" s="1" t="s">
        <v>150</v>
      </c>
      <c r="F5" s="3">
        <v>46176.499265787039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">
      <c r="A6" s="1" t="s">
        <v>148</v>
      </c>
      <c r="B6" s="1" t="s">
        <v>85</v>
      </c>
      <c r="C6" s="1" t="s">
        <v>90</v>
      </c>
      <c r="D6" s="1" t="s">
        <v>149</v>
      </c>
      <c r="E6" s="1" t="s">
        <v>150</v>
      </c>
      <c r="F6" s="3">
        <v>46176.499265787039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">
      <c r="A7" s="1" t="s">
        <v>148</v>
      </c>
      <c r="B7" s="1" t="s">
        <v>91</v>
      </c>
      <c r="C7" s="1" t="s">
        <v>93</v>
      </c>
      <c r="D7" s="1" t="s">
        <v>149</v>
      </c>
      <c r="E7" s="1" t="s">
        <v>150</v>
      </c>
      <c r="F7" s="3">
        <v>46176.499265787039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">
      <c r="A8" s="1" t="s">
        <v>151</v>
      </c>
      <c r="B8" s="1" t="s">
        <v>152</v>
      </c>
      <c r="C8" s="1" t="s">
        <v>153</v>
      </c>
      <c r="D8" s="1" t="s">
        <v>149</v>
      </c>
      <c r="E8" s="1" t="s">
        <v>154</v>
      </c>
      <c r="F8" s="3">
        <v>46176.499265787039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0">
      <c r="A9" s="1" t="s">
        <v>155</v>
      </c>
      <c r="B9" s="1" t="s">
        <v>85</v>
      </c>
      <c r="C9" s="1" t="s">
        <v>90</v>
      </c>
      <c r="D9" s="1" t="s">
        <v>156</v>
      </c>
      <c r="E9" s="1" t="s">
        <v>157</v>
      </c>
      <c r="F9" s="3">
        <v>46176.499265787039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">
      <c r="A10" s="1" t="s">
        <v>148</v>
      </c>
      <c r="B10" s="1" t="s">
        <v>121</v>
      </c>
      <c r="C10" s="1" t="s">
        <v>123</v>
      </c>
      <c r="D10" s="5" t="s">
        <v>149</v>
      </c>
      <c r="E10" s="1" t="s">
        <v>158</v>
      </c>
      <c r="F10" s="3">
        <v>46181.503053599539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>
      <c r="A11" s="1" t="s">
        <v>148</v>
      </c>
      <c r="B11" s="1" t="s">
        <v>125</v>
      </c>
      <c r="C11" s="1" t="s">
        <v>127</v>
      </c>
      <c r="D11" s="5" t="s">
        <v>149</v>
      </c>
      <c r="E11" s="1" t="s">
        <v>158</v>
      </c>
      <c r="F11" s="3">
        <v>46181.503053599539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30">
      <c r="A12" s="1" t="s">
        <v>159</v>
      </c>
      <c r="B12" s="1" t="s">
        <v>19</v>
      </c>
      <c r="C12" s="1" t="s">
        <v>130</v>
      </c>
      <c r="D12" s="6" t="s">
        <v>156</v>
      </c>
      <c r="E12" s="1" t="s">
        <v>161</v>
      </c>
      <c r="F12" s="3">
        <v>46181.503053599539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8.5">
      <c r="A13" s="1" t="s">
        <v>162</v>
      </c>
      <c r="B13" s="1" t="s">
        <v>163</v>
      </c>
      <c r="C13" s="1" t="s">
        <v>164</v>
      </c>
      <c r="D13" s="5" t="s">
        <v>149</v>
      </c>
      <c r="E13" s="1" t="s">
        <v>165</v>
      </c>
      <c r="F13" s="3">
        <v>46181.503053599539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</sheetData>
  <mergeCells count="1">
    <mergeCell ref="A1:F1"/>
  </mergeCells>
  <conditionalFormatting sqref="D4:D10">
    <cfRule type="expression" dxfId="1" priority="1">
      <formula>D4="PASS"</formula>
    </cfRule>
    <cfRule type="expression" dxfId="0" priority="2">
      <formula>D4="PENDING"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Camera Mapping</vt:lpstr>
      <vt:lpstr>Laser Mapping</vt:lpstr>
      <vt:lpstr>Network Setup</vt:lpstr>
      <vt:lpstr>Validation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Yerriswamy Chakala</dc:creator>
  <cp:lastModifiedBy>Yerriswamy Chakala</cp:lastModifiedBy>
  <dcterms:modified xsi:type="dcterms:W3CDTF">2026-08-04T12:19:50Z</dcterms:modified>
</cp:coreProperties>
</file>